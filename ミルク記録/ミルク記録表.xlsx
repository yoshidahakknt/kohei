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ミルク記録" sheetId="1" state="visible" r:id="rId3"/>
  </sheets>
  <definedNames>
    <definedName function="false" hidden="false" localSheetId="0" name="_xlnm.Print_Area" vbProcedure="false">ミルク記録!$A$1:$I$29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" authorId="0">
      <text>
        <r>
          <rPr>
            <sz val="10"/>
            <rFont val="WenQuanYi Zen Hei"/>
            <family val="2"/>
          </rPr>
          <t xml:space="preserve">ミルクの間隔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時間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。例</t>
        </r>
        <r>
          <rPr>
            <sz val="10"/>
            <rFont val="Arial"/>
            <family val="2"/>
          </rPr>
          <t xml:space="preserve">: 3 → 3</t>
        </r>
        <r>
          <rPr>
            <sz val="10"/>
            <rFont val="WenQuanYi Zen Hei"/>
            <family val="2"/>
          </rPr>
          <t xml:space="preserve">時間ごと。</t>
        </r>
        <r>
          <rPr>
            <sz val="10"/>
            <rFont val="Arial"/>
            <family val="2"/>
          </rPr>
          <t xml:space="preserve">2.5 </t>
        </r>
        <r>
          <rPr>
            <sz val="10"/>
            <rFont val="WenQuanYi Zen Hei"/>
            <family val="2"/>
          </rPr>
          <t xml:space="preserve">のような小数も可。ユーザー指定がないため仮の値です。</t>
        </r>
      </text>
    </comment>
  </commentList>
</comments>
</file>

<file path=xl/sharedStrings.xml><?xml version="1.0" encoding="utf-8"?>
<sst xmlns="http://schemas.openxmlformats.org/spreadsheetml/2006/main" count="17" uniqueCount="17">
  <si>
    <t xml:space="preserve">赤ちゃん ミルク記録表</t>
  </si>
  <si>
    <t xml:space="preserve">日付</t>
  </si>
  <si>
    <r>
      <rPr>
        <b val="true"/>
        <sz val="11"/>
        <rFont val="WenQuanYi Zen Hei"/>
        <family val="2"/>
      </rPr>
      <t xml:space="preserve">間隔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時間</t>
    </r>
    <r>
      <rPr>
        <b val="true"/>
        <sz val="11"/>
        <rFont val="Arial"/>
        <family val="0"/>
        <charset val="1"/>
      </rPr>
      <t xml:space="preserve">)</t>
    </r>
  </si>
  <si>
    <t xml:space="preserve">▶ 次回のミルク</t>
  </si>
  <si>
    <t xml:space="preserve">No.</t>
  </si>
  <si>
    <t xml:space="preserve">飲んだ時刻</t>
  </si>
  <si>
    <r>
      <rPr>
        <b val="true"/>
        <sz val="11"/>
        <rFont val="WenQuanYi Zen Hei"/>
        <family val="2"/>
      </rPr>
      <t xml:space="preserve">量 </t>
    </r>
    <r>
      <rPr>
        <b val="true"/>
        <sz val="11"/>
        <rFont val="Arial"/>
        <family val="0"/>
        <charset val="1"/>
      </rPr>
      <t xml:space="preserve">(ml)</t>
    </r>
  </si>
  <si>
    <t xml:space="preserve">次回予定</t>
  </si>
  <si>
    <r>
      <rPr>
        <b val="true"/>
        <sz val="11"/>
        <rFont val="WenQuanYi Zen Hei"/>
        <family val="2"/>
      </rPr>
      <t xml:space="preserve">母乳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WenQuanYi Zen Hei"/>
        <family val="2"/>
      </rPr>
      <t xml:space="preserve">ミルク</t>
    </r>
  </si>
  <si>
    <r>
      <rPr>
        <b val="true"/>
        <sz val="11"/>
        <rFont val="WenQuanYi Zen Hei"/>
        <family val="2"/>
      </rPr>
      <t xml:space="preserve">メモ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うんち・様子など</t>
    </r>
    <r>
      <rPr>
        <b val="true"/>
        <sz val="11"/>
        <rFont val="Arial"/>
        <family val="0"/>
        <charset val="1"/>
      </rPr>
      <t xml:space="preserve">)</t>
    </r>
  </si>
  <si>
    <t xml:space="preserve">早見表 飲んだ→次回</t>
  </si>
  <si>
    <t xml:space="preserve">ミルク</t>
  </si>
  <si>
    <r>
      <rPr>
        <sz val="10"/>
        <color rgb="FF808080"/>
        <rFont val="WenQuanYi Zen Hei"/>
        <family val="2"/>
      </rPr>
      <t xml:space="preserve">記入例 </t>
    </r>
    <r>
      <rPr>
        <sz val="10"/>
        <color rgb="FF808080"/>
        <rFont val="Arial"/>
        <family val="0"/>
        <charset val="1"/>
      </rPr>
      <t xml:space="preserve">(</t>
    </r>
    <r>
      <rPr>
        <sz val="10"/>
        <color rgb="FF808080"/>
        <rFont val="WenQuanYi Zen Hei"/>
        <family val="2"/>
      </rPr>
      <t xml:space="preserve">消して使ってください</t>
    </r>
    <r>
      <rPr>
        <sz val="10"/>
        <color rgb="FF808080"/>
        <rFont val="Arial"/>
        <family val="0"/>
        <charset val="1"/>
      </rPr>
      <t xml:space="preserve">)</t>
    </r>
  </si>
  <si>
    <t xml:space="preserve">合計</t>
  </si>
  <si>
    <t xml:space="preserve">回数</t>
  </si>
  <si>
    <r>
      <rPr>
        <sz val="9"/>
        <rFont val="WenQuanYi Zen Hei"/>
        <family val="2"/>
      </rPr>
      <t xml:space="preserve">【使い方】 黄色のセル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日付・間隔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と「飲んだ時刻」「量」を入力すると、次回予定と上の「次回のミルク」が自動で表示されます。</t>
    </r>
  </si>
  <si>
    <t xml:space="preserve">手書きで使う場合は、右の早見表で「飲んだ時刻 → 次回予定」を見てください。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</si>
</sst>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/m/d"/>
    <numFmt numFmtId="166" formatCode="h:mm"/>
    <numFmt numFmtId="167" formatCode="#,##0&quot; ml&quot;"/>
    <numFmt numFmtId="168" formatCode="0&quot; 回&quot;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WenQuanYi Zen Hei"/>
      <family val="2"/>
    </font>
    <font>
      <b val="true"/>
      <sz val="11"/>
      <name val="WenQuanYi Zen Hei"/>
      <family val="2"/>
    </font>
    <font>
      <sz val="12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4"/>
      <color rgb="FFC00000"/>
      <name val="WenQuanYi Zen Hei"/>
      <family val="2"/>
    </font>
    <font>
      <b val="true"/>
      <sz val="22"/>
      <color rgb="FFC00000"/>
      <name val="Arial"/>
      <family val="0"/>
      <charset val="1"/>
    </font>
    <font>
      <b val="true"/>
      <sz val="9"/>
      <name val="WenQuanYi Zen Hei"/>
      <family val="2"/>
    </font>
    <font>
      <sz val="12"/>
      <name val="Arial"/>
      <family val="0"/>
      <charset val="1"/>
    </font>
    <font>
      <b val="true"/>
      <sz val="13"/>
      <name val="Arial"/>
      <family val="0"/>
      <charset val="1"/>
    </font>
    <font>
      <sz val="12"/>
      <name val="WenQuanYi Zen Hei"/>
      <family val="2"/>
    </font>
    <font>
      <sz val="10"/>
      <color rgb="FF808080"/>
      <name val="WenQuanYi Zen Hei"/>
      <family val="2"/>
    </font>
    <font>
      <sz val="10"/>
      <color rgb="FF808080"/>
      <name val="Arial"/>
      <family val="0"/>
      <charset val="1"/>
    </font>
    <font>
      <sz val="9"/>
      <name val="Arial"/>
      <family val="0"/>
      <charset val="1"/>
    </font>
    <font>
      <sz val="9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D6"/>
        <bgColor rgb="FFDDEBF7"/>
      </patternFill>
    </fill>
    <fill>
      <patternFill patternType="solid">
        <fgColor rgb="FFDDEB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1"/>
    <col collapsed="false" customWidth="true" hidden="false" outlineLevel="0" max="6" min="6" style="0" width="30"/>
    <col collapsed="false" customWidth="true" hidden="false" outlineLevel="0" max="7" min="7" style="0" width="2"/>
    <col collapsed="false" customWidth="true" hidden="false" outlineLevel="0" max="9" min="8" style="0" width="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3" t="n">
        <v>46323</v>
      </c>
      <c r="C2" s="3"/>
      <c r="D2" s="2" t="s">
        <v>2</v>
      </c>
      <c r="E2" s="4" t="n">
        <v>3</v>
      </c>
    </row>
    <row r="3" customFormat="false" ht="36" hidden="false" customHeight="true" outlineLevel="0" collapsed="false">
      <c r="A3" s="5" t="s">
        <v>3</v>
      </c>
      <c r="B3" s="5"/>
      <c r="C3" s="5"/>
      <c r="D3" s="6" t="str">
        <f aca="false">IFERROR(TEXT(LOOKUP(2,1/(B6:B25&lt;&gt;""),D6:D25),"h:mm")&amp;" ごろ","未記入")</f>
        <v>10:00 ごろ</v>
      </c>
      <c r="E3" s="6"/>
      <c r="F3" s="6"/>
    </row>
    <row r="5" customFormat="false" ht="21.75" hidden="false" customHeight="true" outlineLevel="0" collapsed="false">
      <c r="A5" s="7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H5" s="9" t="s">
        <v>10</v>
      </c>
      <c r="I5" s="9"/>
    </row>
    <row r="6" customFormat="false" ht="25.5" hidden="false" customHeight="true" outlineLevel="0" collapsed="false">
      <c r="A6" s="10" t="n">
        <v>1</v>
      </c>
      <c r="B6" s="11" t="n">
        <v>0.291666666666667</v>
      </c>
      <c r="C6" s="12" t="n">
        <v>120</v>
      </c>
      <c r="D6" s="13" t="n">
        <f aca="false">IF(B6="","",MOD(B6+$E$2/24,1))</f>
        <v>0.416666666666667</v>
      </c>
      <c r="E6" s="14" t="s">
        <v>11</v>
      </c>
      <c r="F6" s="15" t="s">
        <v>12</v>
      </c>
      <c r="H6" s="16" t="n">
        <v>0</v>
      </c>
      <c r="I6" s="16" t="n">
        <f aca="false">MOD(H6+$E$2/24,1)</f>
        <v>0.125</v>
      </c>
    </row>
    <row r="7" customFormat="false" ht="25.5" hidden="false" customHeight="true" outlineLevel="0" collapsed="false">
      <c r="A7" s="10" t="n">
        <v>2</v>
      </c>
      <c r="B7" s="17"/>
      <c r="C7" s="10"/>
      <c r="D7" s="13" t="str">
        <f aca="false">IF(B7="","",MOD(B7+$E$2/24,1))</f>
        <v/>
      </c>
      <c r="E7" s="10"/>
      <c r="F7" s="18"/>
      <c r="H7" s="16" t="n">
        <v>0.0416666666666667</v>
      </c>
      <c r="I7" s="16" t="n">
        <f aca="false">MOD(H7+$E$2/24,1)</f>
        <v>0.166666666666667</v>
      </c>
    </row>
    <row r="8" customFormat="false" ht="25.5" hidden="false" customHeight="true" outlineLevel="0" collapsed="false">
      <c r="A8" s="10" t="n">
        <v>3</v>
      </c>
      <c r="B8" s="17"/>
      <c r="C8" s="10"/>
      <c r="D8" s="13" t="str">
        <f aca="false">IF(B8="","",MOD(B8+$E$2/24,1))</f>
        <v/>
      </c>
      <c r="E8" s="10"/>
      <c r="F8" s="18"/>
      <c r="H8" s="16" t="n">
        <v>0.0833333333333333</v>
      </c>
      <c r="I8" s="16" t="n">
        <f aca="false">MOD(H8+$E$2/24,1)</f>
        <v>0.208333333333333</v>
      </c>
    </row>
    <row r="9" customFormat="false" ht="25.5" hidden="false" customHeight="true" outlineLevel="0" collapsed="false">
      <c r="A9" s="10" t="n">
        <v>4</v>
      </c>
      <c r="B9" s="17"/>
      <c r="C9" s="10"/>
      <c r="D9" s="13" t="str">
        <f aca="false">IF(B9="","",MOD(B9+$E$2/24,1))</f>
        <v/>
      </c>
      <c r="E9" s="10"/>
      <c r="F9" s="18"/>
      <c r="H9" s="16" t="n">
        <v>0.125</v>
      </c>
      <c r="I9" s="16" t="n">
        <f aca="false">MOD(H9+$E$2/24,1)</f>
        <v>0.25</v>
      </c>
    </row>
    <row r="10" customFormat="false" ht="25.5" hidden="false" customHeight="true" outlineLevel="0" collapsed="false">
      <c r="A10" s="10" t="n">
        <v>5</v>
      </c>
      <c r="B10" s="17"/>
      <c r="C10" s="10"/>
      <c r="D10" s="13" t="str">
        <f aca="false">IF(B10="","",MOD(B10+$E$2/24,1))</f>
        <v/>
      </c>
      <c r="E10" s="10"/>
      <c r="F10" s="18"/>
      <c r="H10" s="16" t="n">
        <v>0.166666666666667</v>
      </c>
      <c r="I10" s="16" t="n">
        <f aca="false">MOD(H10+$E$2/24,1)</f>
        <v>0.291666666666667</v>
      </c>
    </row>
    <row r="11" customFormat="false" ht="25.5" hidden="false" customHeight="true" outlineLevel="0" collapsed="false">
      <c r="A11" s="10" t="n">
        <v>6</v>
      </c>
      <c r="B11" s="17"/>
      <c r="C11" s="10"/>
      <c r="D11" s="13" t="str">
        <f aca="false">IF(B11="","",MOD(B11+$E$2/24,1))</f>
        <v/>
      </c>
      <c r="E11" s="10"/>
      <c r="F11" s="18"/>
      <c r="H11" s="16" t="n">
        <v>0.208333333333333</v>
      </c>
      <c r="I11" s="16" t="n">
        <f aca="false">MOD(H11+$E$2/24,1)</f>
        <v>0.333333333333333</v>
      </c>
    </row>
    <row r="12" customFormat="false" ht="25.5" hidden="false" customHeight="true" outlineLevel="0" collapsed="false">
      <c r="A12" s="10" t="n">
        <v>7</v>
      </c>
      <c r="B12" s="17"/>
      <c r="C12" s="10"/>
      <c r="D12" s="13" t="str">
        <f aca="false">IF(B12="","",MOD(B12+$E$2/24,1))</f>
        <v/>
      </c>
      <c r="E12" s="10"/>
      <c r="F12" s="18"/>
      <c r="H12" s="16" t="n">
        <v>0.25</v>
      </c>
      <c r="I12" s="16" t="n">
        <f aca="false">MOD(H12+$E$2/24,1)</f>
        <v>0.375</v>
      </c>
    </row>
    <row r="13" customFormat="false" ht="25.5" hidden="false" customHeight="true" outlineLevel="0" collapsed="false">
      <c r="A13" s="10" t="n">
        <v>8</v>
      </c>
      <c r="B13" s="17"/>
      <c r="C13" s="10"/>
      <c r="D13" s="13" t="str">
        <f aca="false">IF(B13="","",MOD(B13+$E$2/24,1))</f>
        <v/>
      </c>
      <c r="E13" s="10"/>
      <c r="F13" s="18"/>
      <c r="H13" s="16" t="n">
        <v>0.291666666666667</v>
      </c>
      <c r="I13" s="16" t="n">
        <f aca="false">MOD(H13+$E$2/24,1)</f>
        <v>0.416666666666667</v>
      </c>
    </row>
    <row r="14" customFormat="false" ht="25.5" hidden="false" customHeight="true" outlineLevel="0" collapsed="false">
      <c r="A14" s="10" t="n">
        <v>9</v>
      </c>
      <c r="B14" s="17"/>
      <c r="C14" s="10"/>
      <c r="D14" s="13" t="str">
        <f aca="false">IF(B14="","",MOD(B14+$E$2/24,1))</f>
        <v/>
      </c>
      <c r="E14" s="10"/>
      <c r="F14" s="18"/>
      <c r="H14" s="16" t="n">
        <v>0.333333333333333</v>
      </c>
      <c r="I14" s="16" t="n">
        <f aca="false">MOD(H14+$E$2/24,1)</f>
        <v>0.458333333333333</v>
      </c>
    </row>
    <row r="15" customFormat="false" ht="25.5" hidden="false" customHeight="true" outlineLevel="0" collapsed="false">
      <c r="A15" s="10" t="n">
        <v>10</v>
      </c>
      <c r="B15" s="17"/>
      <c r="C15" s="10"/>
      <c r="D15" s="13" t="str">
        <f aca="false">IF(B15="","",MOD(B15+$E$2/24,1))</f>
        <v/>
      </c>
      <c r="E15" s="10"/>
      <c r="F15" s="18"/>
      <c r="H15" s="16" t="n">
        <v>0.375</v>
      </c>
      <c r="I15" s="16" t="n">
        <f aca="false">MOD(H15+$E$2/24,1)</f>
        <v>0.5</v>
      </c>
    </row>
    <row r="16" customFormat="false" ht="25.5" hidden="false" customHeight="true" outlineLevel="0" collapsed="false">
      <c r="A16" s="10" t="n">
        <v>11</v>
      </c>
      <c r="B16" s="17"/>
      <c r="C16" s="10"/>
      <c r="D16" s="13" t="str">
        <f aca="false">IF(B16="","",MOD(B16+$E$2/24,1))</f>
        <v/>
      </c>
      <c r="E16" s="10"/>
      <c r="F16" s="18"/>
      <c r="H16" s="16" t="n">
        <v>0.416666666666667</v>
      </c>
      <c r="I16" s="16" t="n">
        <f aca="false">MOD(H16+$E$2/24,1)</f>
        <v>0.541666666666667</v>
      </c>
    </row>
    <row r="17" customFormat="false" ht="25.5" hidden="false" customHeight="true" outlineLevel="0" collapsed="false">
      <c r="A17" s="10" t="n">
        <v>12</v>
      </c>
      <c r="B17" s="17"/>
      <c r="C17" s="10"/>
      <c r="D17" s="13" t="str">
        <f aca="false">IF(B17="","",MOD(B17+$E$2/24,1))</f>
        <v/>
      </c>
      <c r="E17" s="10"/>
      <c r="F17" s="18"/>
      <c r="H17" s="16" t="n">
        <v>0.458333333333333</v>
      </c>
      <c r="I17" s="16" t="n">
        <f aca="false">MOD(H17+$E$2/24,1)</f>
        <v>0.583333333333333</v>
      </c>
    </row>
    <row r="18" customFormat="false" ht="25.5" hidden="false" customHeight="true" outlineLevel="0" collapsed="false">
      <c r="A18" s="10" t="n">
        <v>13</v>
      </c>
      <c r="B18" s="17"/>
      <c r="C18" s="10"/>
      <c r="D18" s="13" t="str">
        <f aca="false">IF(B18="","",MOD(B18+$E$2/24,1))</f>
        <v/>
      </c>
      <c r="E18" s="10"/>
      <c r="F18" s="18"/>
      <c r="H18" s="16" t="n">
        <v>0.5</v>
      </c>
      <c r="I18" s="16" t="n">
        <f aca="false">MOD(H18+$E$2/24,1)</f>
        <v>0.625</v>
      </c>
    </row>
    <row r="19" customFormat="false" ht="25.5" hidden="false" customHeight="true" outlineLevel="0" collapsed="false">
      <c r="A19" s="10" t="n">
        <v>14</v>
      </c>
      <c r="B19" s="17"/>
      <c r="C19" s="10"/>
      <c r="D19" s="13" t="str">
        <f aca="false">IF(B19="","",MOD(B19+$E$2/24,1))</f>
        <v/>
      </c>
      <c r="E19" s="10"/>
      <c r="F19" s="18"/>
      <c r="H19" s="16" t="n">
        <v>0.541666666666667</v>
      </c>
      <c r="I19" s="16" t="n">
        <f aca="false">MOD(H19+$E$2/24,1)</f>
        <v>0.666666666666667</v>
      </c>
    </row>
    <row r="20" customFormat="false" ht="25.5" hidden="false" customHeight="true" outlineLevel="0" collapsed="false">
      <c r="A20" s="10" t="n">
        <v>15</v>
      </c>
      <c r="B20" s="17"/>
      <c r="C20" s="10"/>
      <c r="D20" s="13" t="str">
        <f aca="false">IF(B20="","",MOD(B20+$E$2/24,1))</f>
        <v/>
      </c>
      <c r="E20" s="10"/>
      <c r="F20" s="18"/>
      <c r="H20" s="16" t="n">
        <v>0.583333333333333</v>
      </c>
      <c r="I20" s="16" t="n">
        <f aca="false">MOD(H20+$E$2/24,1)</f>
        <v>0.708333333333333</v>
      </c>
    </row>
    <row r="21" customFormat="false" ht="25.5" hidden="false" customHeight="true" outlineLevel="0" collapsed="false">
      <c r="A21" s="10" t="n">
        <v>16</v>
      </c>
      <c r="B21" s="17"/>
      <c r="C21" s="10"/>
      <c r="D21" s="13" t="str">
        <f aca="false">IF(B21="","",MOD(B21+$E$2/24,1))</f>
        <v/>
      </c>
      <c r="E21" s="10"/>
      <c r="F21" s="18"/>
      <c r="H21" s="16" t="n">
        <v>0.625</v>
      </c>
      <c r="I21" s="16" t="n">
        <f aca="false">MOD(H21+$E$2/24,1)</f>
        <v>0.75</v>
      </c>
    </row>
    <row r="22" customFormat="false" ht="25.5" hidden="false" customHeight="true" outlineLevel="0" collapsed="false">
      <c r="A22" s="10" t="n">
        <v>17</v>
      </c>
      <c r="B22" s="17"/>
      <c r="C22" s="10"/>
      <c r="D22" s="13" t="str">
        <f aca="false">IF(B22="","",MOD(B22+$E$2/24,1))</f>
        <v/>
      </c>
      <c r="E22" s="10"/>
      <c r="F22" s="18"/>
      <c r="H22" s="16" t="n">
        <v>0.666666666666667</v>
      </c>
      <c r="I22" s="16" t="n">
        <f aca="false">MOD(H22+$E$2/24,1)</f>
        <v>0.791666666666667</v>
      </c>
    </row>
    <row r="23" customFormat="false" ht="25.5" hidden="false" customHeight="true" outlineLevel="0" collapsed="false">
      <c r="A23" s="10" t="n">
        <v>18</v>
      </c>
      <c r="B23" s="17"/>
      <c r="C23" s="10"/>
      <c r="D23" s="13" t="str">
        <f aca="false">IF(B23="","",MOD(B23+$E$2/24,1))</f>
        <v/>
      </c>
      <c r="E23" s="10"/>
      <c r="F23" s="18"/>
      <c r="H23" s="16" t="n">
        <v>0.708333333333333</v>
      </c>
      <c r="I23" s="16" t="n">
        <f aca="false">MOD(H23+$E$2/24,1)</f>
        <v>0.833333333333333</v>
      </c>
    </row>
    <row r="24" customFormat="false" ht="25.5" hidden="false" customHeight="true" outlineLevel="0" collapsed="false">
      <c r="A24" s="10" t="n">
        <v>19</v>
      </c>
      <c r="B24" s="17"/>
      <c r="C24" s="10"/>
      <c r="D24" s="13" t="str">
        <f aca="false">IF(B24="","",MOD(B24+$E$2/24,1))</f>
        <v/>
      </c>
      <c r="E24" s="10"/>
      <c r="F24" s="18"/>
      <c r="H24" s="16" t="n">
        <v>0.75</v>
      </c>
      <c r="I24" s="16" t="n">
        <f aca="false">MOD(H24+$E$2/24,1)</f>
        <v>0.875</v>
      </c>
    </row>
    <row r="25" customFormat="false" ht="25.5" hidden="false" customHeight="true" outlineLevel="0" collapsed="false">
      <c r="A25" s="10" t="n">
        <v>20</v>
      </c>
      <c r="B25" s="17"/>
      <c r="C25" s="10"/>
      <c r="D25" s="13" t="str">
        <f aca="false">IF(B25="","",MOD(B25+$E$2/24,1))</f>
        <v/>
      </c>
      <c r="E25" s="10"/>
      <c r="F25" s="18"/>
      <c r="H25" s="16" t="n">
        <v>0.791666666666667</v>
      </c>
      <c r="I25" s="16" t="n">
        <f aca="false">MOD(H25+$E$2/24,1)</f>
        <v>0.916666666666667</v>
      </c>
    </row>
    <row r="26" customFormat="false" ht="15" hidden="false" customHeight="true" outlineLevel="0" collapsed="false">
      <c r="B26" s="2" t="s">
        <v>13</v>
      </c>
      <c r="C26" s="19" t="n">
        <f aca="false">SUM(C6:C25)</f>
        <v>120</v>
      </c>
      <c r="D26" s="2" t="s">
        <v>14</v>
      </c>
      <c r="E26" s="20" t="n">
        <f aca="false">COUNT(B6:B25)</f>
        <v>1</v>
      </c>
      <c r="H26" s="16" t="n">
        <v>0.833333333333333</v>
      </c>
      <c r="I26" s="16" t="n">
        <f aca="false">MOD(H26+$E$2/24,1)</f>
        <v>0.958333333333333</v>
      </c>
    </row>
    <row r="27" customFormat="false" ht="15" hidden="false" customHeight="true" outlineLevel="0" collapsed="false">
      <c r="H27" s="16" t="n">
        <v>0.875</v>
      </c>
      <c r="I27" s="16" t="n">
        <f aca="false">MOD(H27+$E$2/24,1)</f>
        <v>0</v>
      </c>
    </row>
    <row r="28" customFormat="false" ht="15" hidden="false" customHeight="true" outlineLevel="0" collapsed="false">
      <c r="A28" s="21" t="s">
        <v>15</v>
      </c>
      <c r="H28" s="16" t="n">
        <v>0.916666666666667</v>
      </c>
      <c r="I28" s="16" t="n">
        <f aca="false">MOD(H28+$E$2/24,1)</f>
        <v>0.0416666666666667</v>
      </c>
    </row>
    <row r="29" customFormat="false" ht="15" hidden="false" customHeight="true" outlineLevel="0" collapsed="false">
      <c r="A29" s="21" t="s">
        <v>16</v>
      </c>
      <c r="H29" s="16" t="n">
        <v>0.958333333333333</v>
      </c>
      <c r="I29" s="16" t="n">
        <f aca="false">MOD(H29+$E$2/24,1)</f>
        <v>0.0833333333333333</v>
      </c>
    </row>
  </sheetData>
  <mergeCells count="5">
    <mergeCell ref="A1:F1"/>
    <mergeCell ref="B2:C2"/>
    <mergeCell ref="A3:C3"/>
    <mergeCell ref="D3:F3"/>
    <mergeCell ref="H5:I5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2026-10-28T10:42:46Z</dcterms:created>
  <dc:creator>openpyxl</dc:creator>
  <dc:description/>
  <dc:language>en-US</dc:language>
  <cp:lastModifiedBy/>
  <dcterms:modified xsi:type="dcterms:W3CDTF">2026-10-28T10:42:46Z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